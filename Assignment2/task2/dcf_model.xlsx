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CF Forecast" sheetId="1" r:id="rId5"/>
    <sheet state="visible" name="DCF Valuation" sheetId="2" r:id="rId6"/>
    <sheet state="visible" name="Historical Financials" sheetId="3" r:id="rId7"/>
    <sheet state="visible" name="Sensitivity Analysis" sheetId="4" r:id="rId8"/>
    <sheet state="visible" name="Reverse DCF" sheetId="5" r:id="rId9"/>
    <sheet state="visible" name="Consensus Comparison" sheetId="6" r:id="rId10"/>
    <sheet state="visible" name="Valuation Chart" sheetId="7"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tc={d5716f23-2400-46f7-9a5f-66fa28c2b070}</author>
  </authors>
  <commentList>
    <comment authorId="0" xr:uid="{d5716f23-2400-46f7-9a5f-66fa28c2b070}" ref="B5">
      <text>
        <t xml:space="preserve">[Threaded comment]
 Your version of Excel allows you to read this threaded comment; however, any edits to it will get removed if the file is opened in a newer version of Excel. Learn more: https://go.microsoft.com/fwlink/?linkid=870924
Comment:
	This is the average over FY24, I think it's better to divide by current outstanding shares and dilutive (='DCF Valuation'!E7 + 'DCF Valuation'!E9 + 'DCF Valuation'!E10) it comes out about 10m less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tc={101100b3-41cd-4d74-9c4e-82c449e91a42}</author>
  </authors>
  <commentList>
    <comment authorId="0" xr:uid="{101100b3-41cd-4d74-9c4e-82c449e91a42}" ref="B5">
      <text>
        <t xml:space="preserve">[Threaded comment]
 Your version of Excel allows you to read this threaded comment; however, any edits to it will get removed if the file is opened in a newer version of Excel. Learn more: https://go.microsoft.com/fwlink/?linkid=870924
Comment:
	These look like they are from an old version of the calculations. Current work shows the share is overpriced relative to the DCF valuation. So markets expect more growth than what's forecasted here. This should be ='Reverse DCF'!B8 I believe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tc={07ae3fb3-9ced-4ac5-9e1c-9bf95ffa1eec}</author>
  </authors>
  <commentList>
    <comment authorId="0" xr:uid="{07ae3fb3-9ced-4ac5-9e1c-9bf95ffa1eec}" ref="B2">
      <text>
        <t xml:space="preserve">[Threaded comment]
 Your version of Excel allows you to read this threaded comment; however, any edits to it will get removed if the file is opened in a newer version of Excel. Learn more: https://go.microsoft.com/fwlink/?linkid=870924
Comment:
	It might be better to pull these from DCF sheets instead of pasting them, in case anything changes
</t>
      </text>
    </comment>
  </commentList>
</comments>
</file>

<file path=xl/sharedStrings.xml><?xml version="1.0" encoding="utf-8"?>
<sst xmlns="http://schemas.openxmlformats.org/spreadsheetml/2006/main" count="136" uniqueCount="97">
  <si>
    <t>Metric</t>
  </si>
  <si>
    <t>WACC CALCULATION</t>
  </si>
  <si>
    <t>Sensitivity Analysis — Value per Share (USD)</t>
  </si>
  <si>
    <t>2026 Actual</t>
  </si>
  <si>
    <t>Value</t>
  </si>
  <si>
    <t>2027 Forecast</t>
  </si>
  <si>
    <t>WACC / Terminal Growth</t>
  </si>
  <si>
    <t>Risk-Free Rate (Rf)</t>
  </si>
  <si>
    <t>2023 (NWC Reference)</t>
  </si>
  <si>
    <t>Revenue</t>
  </si>
  <si>
    <t>2028 Forecast</t>
  </si>
  <si>
    <t>2025 Total Debt</t>
  </si>
  <si>
    <t>2029 Forecast</t>
  </si>
  <si>
    <t>2030 Forecast</t>
  </si>
  <si>
    <t>2031 Forecast</t>
  </si>
  <si>
    <t>Revenue Growth</t>
  </si>
  <si>
    <t>Operating Income (EBIT)</t>
  </si>
  <si>
    <t>Equity Beta</t>
  </si>
  <si>
    <t>Income Taxes</t>
  </si>
  <si>
    <t>2026 Interest Expense</t>
  </si>
  <si>
    <t>Equity Risk Premium (ERP)</t>
  </si>
  <si>
    <t>Earnings Before Taxes</t>
  </si>
  <si>
    <t>Average Debt</t>
  </si>
  <si>
    <t>Cost of Equity (Re)</t>
  </si>
  <si>
    <t>Short-Term Debt</t>
  </si>
  <si>
    <t>Operating Margin</t>
  </si>
  <si>
    <t>Share Price (16 October 2026)</t>
  </si>
  <si>
    <t>Long-Term Debt</t>
  </si>
  <si>
    <t>Shares Outstanding (millions)</t>
  </si>
  <si>
    <t>Total Debt</t>
  </si>
  <si>
    <t>Effective Tax Rate</t>
  </si>
  <si>
    <t>Cost of Debt (Rd)</t>
  </si>
  <si>
    <t>Preferred Conversion Dilution Effect (millions)</t>
  </si>
  <si>
    <t>Tax Rate</t>
  </si>
  <si>
    <t>Depreciation &amp; Amortization</t>
  </si>
  <si>
    <t>Other Dilutive Securities (millions)</t>
  </si>
  <si>
    <t>Market Capitalization (E)</t>
  </si>
  <si>
    <t>Capital Expenditures (CapEx)</t>
  </si>
  <si>
    <t>Accounts Receivable</t>
  </si>
  <si>
    <t>Estimated Diluted Shares (millions)</t>
  </si>
  <si>
    <t>Inventories</t>
  </si>
  <si>
    <t>Other Current Assets</t>
  </si>
  <si>
    <t>Accounts Payable</t>
  </si>
  <si>
    <t>Equity Weight</t>
  </si>
  <si>
    <t>Accrued &amp; Other Liabilities</t>
  </si>
  <si>
    <t>Net Working Capital (NWC)</t>
  </si>
  <si>
    <t>Reported Average Debt Interest Rate (2026)</t>
  </si>
  <si>
    <t>Debt Weight</t>
  </si>
  <si>
    <t>EBIT After Tax</t>
  </si>
  <si>
    <t>AA Corporate Bond Yield (15 October 2026)</t>
  </si>
  <si>
    <t>WACC</t>
  </si>
  <si>
    <t>D&amp;A / Revenue</t>
  </si>
  <si>
    <t>Change in NWC</t>
  </si>
  <si>
    <t>Year (t)</t>
  </si>
  <si>
    <t>Forecast FCFF</t>
  </si>
  <si>
    <t>Free Cash Flow to Firm (FCFF)</t>
  </si>
  <si>
    <t>CapEx / Revenue</t>
  </si>
  <si>
    <t>Discount Factor</t>
  </si>
  <si>
    <t>Capital Expenditures</t>
  </si>
  <si>
    <t>Present Value of FCFF</t>
  </si>
  <si>
    <t>Net Working Capital</t>
  </si>
  <si>
    <t>PV of Forecast FCFF</t>
  </si>
  <si>
    <t>Terminal Growth Rate (g)</t>
  </si>
  <si>
    <t>Terminal Value (2031)</t>
  </si>
  <si>
    <t>PV of Terminal Value</t>
  </si>
  <si>
    <t>Enterprise Value (EV)</t>
  </si>
  <si>
    <t>Cash and Cash Equivalents</t>
  </si>
  <si>
    <t>Net Debt</t>
  </si>
  <si>
    <t>Noncontrolling Interest</t>
  </si>
  <si>
    <t>Preferred Stock (Book Value — Reference)</t>
  </si>
  <si>
    <t>Provisional Equity Value (BeforePreferredAdj)</t>
  </si>
  <si>
    <t>Provisional Value per Share</t>
  </si>
  <si>
    <t>REVERSE DCF — P&amp;G</t>
  </si>
  <si>
    <t>Market Share Price (USD)</t>
  </si>
  <si>
    <t>Net Debt (USD millions)</t>
  </si>
  <si>
    <t>Noncontrolling Interest (USD millions)</t>
  </si>
  <si>
    <t>Reverse DCF Implied Annual Revenue Growth</t>
  </si>
  <si>
    <t>Reverse DCF Share Value</t>
  </si>
  <si>
    <t>Our DCF Revenue Growth</t>
  </si>
  <si>
    <t>Analyst Consensus (Zacks)</t>
  </si>
  <si>
    <t>P&amp;G Management Guidance (Range)</t>
  </si>
  <si>
    <t>1%–3%</t>
  </si>
  <si>
    <t>---</t>
  </si>
  <si>
    <t>Reverse DCF Implied Annual Growth</t>
  </si>
  <si>
    <t>Difference from Market Price</t>
  </si>
  <si>
    <t>Sources &amp; Methodology Notes</t>
  </si>
  <si>
    <t>DCF Forecast: Internal model assumptions (FY2027–FY2028).</t>
  </si>
  <si>
    <t>Management Guidance: P&amp;G FY2027 outlook published 29 July 2026.</t>
  </si>
  <si>
    <t>Reverse DCF: Implied constant annual revenue growth under the model assumptions.</t>
  </si>
  <si>
    <t>Valuation Date: 16 October 2026. Analyst estimates are used as subsequent benchmarks.</t>
  </si>
  <si>
    <t>Analyst Consensus: Zacks sales estimates; publication date not independently verified.</t>
  </si>
  <si>
    <t>EBIT</t>
  </si>
  <si>
    <t>NWC / Revenue</t>
  </si>
  <si>
    <t>FCFF</t>
  </si>
  <si>
    <t>Price per Share (USD)</t>
  </si>
  <si>
    <t>DCF Fair Value</t>
  </si>
  <si>
    <t>Market Price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</si>
</sst>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000%"/>
  </numFmts>
  <fonts count="12">
    <font>
      <sz val="10.0"/>
      <color rgb="FF000000"/>
      <name val="Arial"/>
      <scheme val="minor"/>
    </font>
    <font>
      <b/>
      <color theme="1"/>
      <name val="Arial"/>
      <scheme val="minor"/>
    </font>
    <font>
      <sz val="10.0"/>
      <color theme="1"/>
      <name val="Arial"/>
      <scheme val="minor"/>
    </font>
    <font>
      <sz val="11.0"/>
      <color rgb="FF9900FF"/>
      <name val="Arial"/>
      <scheme val="minor"/>
    </font>
    <font>
      <color theme="1"/>
      <name val="Arial"/>
      <scheme val="minor"/>
    </font>
    <font>
      <b/>
      <sz val="10.0"/>
      <color theme="1"/>
      <name val="Arial"/>
      <scheme val="minor"/>
    </font>
    <font>
      <color rgb="FF4A86E8"/>
      <name val="Arial"/>
      <scheme val="minor"/>
    </font>
    <font>
      <color theme="1"/>
      <name val="Arial"/>
    </font>
    <font>
      <sz val="10.0"/>
      <color rgb="FFFF00FF"/>
      <name val="Arial"/>
      <scheme val="minor"/>
    </font>
    <font>
      <b/>
      <color theme="1"/>
      <name val="Arial"/>
    </font>
    <font>
      <sz val="11.0"/>
      <color theme="1"/>
      <name val="Arial"/>
      <scheme val="minor"/>
    </font>
    <font>
      <color rgb="FFFF0000"/>
      <name val="Arial"/>
      <scheme val="minor"/>
    </font>
  </fonts>
  <fills count="11">
    <fill>
      <patternFill patternType="none"/>
    </fill>
    <fill>
      <patternFill patternType="lightGray"/>
    </fill>
    <fill>
      <patternFill patternType="solid">
        <fgColor rgb="FFC9DAF8"/>
        <bgColor rgb="FFC9DAF8"/>
      </patternFill>
    </fill>
    <fill>
      <patternFill patternType="solid">
        <fgColor rgb="FFFFFF00"/>
        <bgColor rgb="FFFFFF00"/>
      </patternFill>
    </fill>
    <fill>
      <patternFill patternType="solid">
        <fgColor rgb="FFFFF2CC"/>
        <bgColor rgb="FFFFF2CC"/>
      </patternFill>
    </fill>
    <fill>
      <patternFill patternType="solid">
        <fgColor rgb="FFD9EAD3"/>
        <bgColor rgb="FFD9EAD3"/>
      </patternFill>
    </fill>
    <fill>
      <patternFill patternType="solid">
        <fgColor rgb="FFFCE5CD"/>
        <bgColor rgb="FFFCE5CD"/>
      </patternFill>
    </fill>
    <fill>
      <patternFill patternType="solid">
        <fgColor rgb="FFD9D2E9"/>
        <bgColor rgb="FFD9D2E9"/>
      </patternFill>
    </fill>
    <fill>
      <patternFill patternType="solid">
        <fgColor rgb="FFEAD1DC"/>
        <bgColor rgb="FFEAD1DC"/>
      </patternFill>
    </fill>
    <fill>
      <patternFill patternType="solid">
        <fgColor rgb="FFD0E0E3"/>
        <bgColor rgb="FFD0E0E3"/>
      </patternFill>
    </fill>
    <fill>
      <patternFill patternType="solid">
        <fgColor theme="4"/>
        <bgColor theme="4"/>
      </patternFill>
    </fill>
  </fills>
  <borders count="1">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Alignment="1" applyFont="1">
      <alignment readingOrder="0"/>
    </xf>
    <xf borderId="0" fillId="0" fontId="2" numFmtId="0" xfId="0" applyFont="1"/>
    <xf borderId="0" fillId="2" fontId="1" numFmtId="10" xfId="0" applyAlignment="1" applyFill="1" applyFont="1" applyNumberFormat="1">
      <alignment readingOrder="0"/>
    </xf>
    <xf borderId="0" fillId="0" fontId="3" numFmtId="10" xfId="0" applyAlignment="1" applyFont="1" applyNumberFormat="1">
      <alignment readingOrder="0"/>
    </xf>
    <xf borderId="0" fillId="0" fontId="4" numFmtId="0" xfId="0" applyAlignment="1" applyFont="1">
      <alignment readingOrder="0"/>
    </xf>
    <xf borderId="0" fillId="2" fontId="5" numFmtId="0" xfId="0" applyAlignment="1" applyFill="1" applyFont="1">
      <alignment readingOrder="0"/>
    </xf>
    <xf borderId="0" fillId="0" fontId="2" numFmtId="0" xfId="0" applyAlignment="1" applyFont="1">
      <alignment readingOrder="0"/>
    </xf>
    <xf borderId="0" fillId="3" fontId="4" numFmtId="0" xfId="0" applyAlignment="1" applyFill="1" applyFont="1">
      <alignment readingOrder="0"/>
    </xf>
    <xf borderId="0" fillId="0" fontId="3" numFmtId="164" xfId="0" applyAlignment="1" applyFont="1" applyNumberFormat="1">
      <alignment readingOrder="0"/>
    </xf>
    <xf borderId="0" fillId="4" fontId="1" numFmtId="0" xfId="0" applyAlignment="1" applyFill="1" applyFont="1">
      <alignment readingOrder="0"/>
    </xf>
    <xf borderId="0" fillId="0" fontId="4" numFmtId="10" xfId="0" applyFont="1" applyNumberFormat="1"/>
    <xf borderId="0" fillId="0" fontId="1" numFmtId="10" xfId="0" applyFont="1" applyNumberFormat="1"/>
    <xf borderId="0" fillId="0" fontId="6" numFmtId="164" xfId="0" applyAlignment="1" applyFont="1" applyNumberFormat="1">
      <alignment readingOrder="0"/>
    </xf>
    <xf borderId="0" fillId="0" fontId="5" numFmtId="0" xfId="0" applyFont="1"/>
    <xf borderId="0" fillId="0" fontId="4" numFmtId="0" xfId="0" applyFont="1"/>
    <xf borderId="0" fillId="0" fontId="1" numFmtId="2" xfId="0" applyFont="1" applyNumberFormat="1"/>
    <xf borderId="0" fillId="0" fontId="7" numFmtId="0" xfId="0" applyAlignment="1" applyFont="1">
      <alignment horizontal="right" vertical="bottom"/>
    </xf>
    <xf borderId="0" fillId="0" fontId="8" numFmtId="0" xfId="0" applyAlignment="1" applyFont="1">
      <alignment readingOrder="0"/>
    </xf>
    <xf borderId="0" fillId="0" fontId="1" numFmtId="0" xfId="0" applyFont="1"/>
    <xf borderId="0" fillId="0" fontId="9" numFmtId="0" xfId="0" applyAlignment="1" applyFont="1">
      <alignment horizontal="right" vertical="bottom"/>
    </xf>
    <xf borderId="0" fillId="0" fontId="10" numFmtId="10" xfId="0" applyAlignment="1" applyFont="1" applyNumberFormat="1">
      <alignment readingOrder="0"/>
    </xf>
    <xf borderId="0" fillId="0" fontId="6" numFmtId="9" xfId="0" applyAlignment="1" applyFont="1" applyNumberFormat="1">
      <alignment readingOrder="0"/>
    </xf>
    <xf borderId="0" fillId="0" fontId="6" numFmtId="10" xfId="0" applyAlignment="1" applyFont="1" applyNumberFormat="1">
      <alignment horizontal="right" readingOrder="0"/>
    </xf>
    <xf borderId="0" fillId="0" fontId="11" numFmtId="9" xfId="0" applyAlignment="1" applyFont="1" applyNumberFormat="1">
      <alignment readingOrder="0"/>
    </xf>
    <xf borderId="0" fillId="5" fontId="1" numFmtId="0" xfId="0" applyAlignment="1" applyFill="1" applyFont="1">
      <alignment readingOrder="0"/>
    </xf>
    <xf borderId="0" fillId="6" fontId="1" numFmtId="0" xfId="0" applyAlignment="1" applyFill="1" applyFont="1">
      <alignment readingOrder="0"/>
    </xf>
    <xf borderId="0" fillId="0" fontId="2" numFmtId="0" xfId="0" applyFont="1"/>
    <xf borderId="0" fillId="0" fontId="1" numFmtId="10" xfId="0" applyAlignment="1" applyFont="1" applyNumberFormat="1">
      <alignment readingOrder="0"/>
    </xf>
    <xf borderId="0" fillId="7" fontId="1" numFmtId="0" xfId="0" applyAlignment="1" applyFill="1" applyFont="1">
      <alignment readingOrder="0"/>
    </xf>
    <xf borderId="0" fillId="0" fontId="2" numFmtId="10" xfId="0" applyAlignment="1" applyFont="1" applyNumberFormat="1">
      <alignment readingOrder="0"/>
    </xf>
    <xf borderId="0" fillId="0" fontId="6" numFmtId="10" xfId="0" applyAlignment="1" applyFont="1" applyNumberFormat="1">
      <alignment readingOrder="0"/>
    </xf>
    <xf borderId="0" fillId="8" fontId="1" numFmtId="0" xfId="0" applyAlignment="1" applyFill="1" applyFont="1">
      <alignment readingOrder="0"/>
    </xf>
    <xf borderId="0" fillId="0" fontId="6" numFmtId="9" xfId="0" applyAlignment="1" applyFont="1" applyNumberFormat="1">
      <alignment horizontal="right" readingOrder="0"/>
    </xf>
    <xf borderId="0" fillId="0" fontId="6" numFmtId="164" xfId="0" applyAlignment="1" applyFont="1" applyNumberFormat="1">
      <alignment horizontal="right" readingOrder="0"/>
    </xf>
    <xf borderId="0" fillId="0" fontId="4" numFmtId="0" xfId="0" applyAlignment="1" applyFont="1">
      <alignment horizontal="right"/>
    </xf>
    <xf borderId="0" fillId="9" fontId="1" numFmtId="0" xfId="0" applyAlignment="1" applyFill="1" applyFont="1">
      <alignment readingOrder="0"/>
    </xf>
    <xf borderId="0" fillId="0" fontId="4" numFmtId="164" xfId="0" applyAlignment="1" applyFont="1" applyNumberFormat="1">
      <alignment readingOrder="0"/>
    </xf>
    <xf borderId="0" fillId="0" fontId="4" numFmtId="164" xfId="0" applyFont="1" applyNumberFormat="1"/>
    <xf borderId="0" fillId="0" fontId="4" numFmtId="165" xfId="0" applyAlignment="1" applyFont="1" applyNumberFormat="1">
      <alignment readingOrder="0"/>
    </xf>
    <xf borderId="0" fillId="0" fontId="4" numFmtId="10" xfId="0" applyAlignment="1" applyFont="1" applyNumberFormat="1">
      <alignment readingOrder="0"/>
    </xf>
    <xf borderId="0" fillId="0" fontId="4" numFmtId="0" xfId="0" applyAlignment="1" applyFont="1">
      <alignment horizontal="right" readingOrder="0"/>
    </xf>
    <xf borderId="0" fillId="5" fontId="1" numFmtId="0" xfId="0" applyFill="1" applyFont="1"/>
    <xf borderId="0" fillId="0" fontId="4" numFmtId="165" xfId="0" applyFont="1" applyNumberFormat="1"/>
    <xf borderId="0" fillId="0" fontId="4" numFmtId="9" xfId="0" applyFont="1" applyNumberFormat="1"/>
    <xf borderId="0" fillId="10" fontId="1" numFmtId="0" xfId="0" applyAlignment="1" applyFill="1" applyFont="1">
      <alignment readingOrder="0"/>
    </xf>
    <xf borderId="0" fillId="0" fontId="1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DCF Valuation vs. Market Price</a:t>
            </a:r>
          </a:p>
        </c:rich>
      </c:tx>
      <c:overlay val="0"/>
    </c:title>
    <c:plotArea>
      <c:layout/>
      <c:barChart>
        <c:barDir val="col"/>
        <c:varyColors val="0"/>
        <c:ser>
          <c:idx val="0"/>
          <c:order val="0"/>
          <c:tx>
            <c:strRef>
              <c:f>'Valuation Chart'!$B$1</c:f>
            </c:strRef>
          </c:tx>
          <c:spPr>
            <a:solidFill>
              <a:schemeClr val="accent1"/>
            </a:solidFill>
            <a:ln cmpd="sng">
              <a:noFill/>
            </a:ln>
          </c:spPr>
          <c:invertIfNegative val="0"/>
          <c:cat>
            <c:strRef>
              <c:f>'Valuation Chart'!$A$2:$A$3</c:f>
            </c:strRef>
          </c:cat>
          <c:val>
            <c:numRef>
              <c:f>'Valuation Chart'!$B$2:$B$3</c:f>
              <c:numCache/>
            </c:numRef>
          </c:val>
        </c:ser>
        <c:axId val="1528547493"/>
        <c:axId val="837745365"/>
      </c:barChart>
      <c:catAx>
        <c:axId val="152854749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37745365"/>
      </c:catAx>
      <c:valAx>
        <c:axId val="8377453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 per Share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28547493"/>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_rels/drawing7.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152400</xdr:colOff>
      <xdr:row>0</xdr:row>
      <xdr:rowOff>95250</xdr:rowOff>
    </xdr:from>
    <xdr:ext cx="4105275" cy="2543175"/>
    <xdr:graphicFrame>
      <xdr:nvGraphicFramePr>
        <xdr:cNvPr id="1" name="Chart 1" title="Wykres"/>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x18tc:person displayName="Ege Guney Kiymac" id="{49f5822a-beba-47c7-a37d-0316cb44a2ad}"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5" dT="2026-10-18T22:34:44.00" personId="{49f5822a-beba-47c7-a37d-0316cb44a2ad}" id="{d5716f23-2400-46f7-9a5f-66fa28c2b070}" done="1">
    <x18tc:text xml:space="preserve">This is the average over FY24, I think it's better to divide by current outstanding shares and dilutive (='DCF Valuation'!E7 + 'DCF Valuation'!E9 + 'DCF Valuation'!E10) it comes out about 10m less</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5" dT="2026-10-18T22:43:24.00" personId="{49f5822a-beba-47c7-a37d-0316cb44a2ad}" id="{101100b3-41cd-4d74-9c4e-82c449e91a42}" done="1">
    <x18tc:text xml:space="preserve">These look like they are from an old version of the calculations. Current work shows the share is overpriced relative to the DCF valuation. So markets expect more growth than what's forecasted here. This should be ='Reverse DCF'!B8 I believe</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 dT="2026-10-18T22:39:13.00" personId="{49f5822a-beba-47c7-a37d-0316cb44a2ad}" id="{07ae3fb3-9ced-4ac5-9e1c-9bf95ffa1eec}" done="1">
    <x18tc:text xml:space="preserve">It might be better to pull these from DCF sheets instead of pasting them, in case anything changes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5.xml"/><Relationship Id="rId5"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6.xml"/><Relationship Id="rId5"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7.xml"/><Relationship Id="rId5"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25"/>
  </cols>
  <sheetData>
    <row r="1">
      <c r="A1" s="1" t="s">
        <v>0</v>
      </c>
      <c r="B1" s="1" t="s">
        <v>3</v>
      </c>
      <c r="C1" s="1" t="s">
        <v>5</v>
      </c>
      <c r="D1" s="1" t="s">
        <v>10</v>
      </c>
      <c r="E1" s="1" t="s">
        <v>12</v>
      </c>
      <c r="F1" s="1" t="s">
        <v>13</v>
      </c>
      <c r="G1" s="1" t="s">
        <v>14</v>
      </c>
    </row>
    <row r="2">
      <c r="A2" s="1" t="s">
        <v>15</v>
      </c>
      <c r="B2" s="12">
        <f>'Historical Financials'!D7</f>
        <v>0.03260405296</v>
      </c>
      <c r="C2" s="14">
        <v>0.02</v>
      </c>
      <c r="D2" s="14">
        <v>0.025</v>
      </c>
      <c r="E2" s="14">
        <v>0.027</v>
      </c>
      <c r="F2" s="14">
        <v>0.03</v>
      </c>
      <c r="G2" s="14">
        <v>0.03</v>
      </c>
    </row>
    <row r="3">
      <c r="A3" s="1" t="s">
        <v>9</v>
      </c>
      <c r="B3" s="16">
        <f>'Historical Financials'!D2</f>
        <v>87032</v>
      </c>
      <c r="C3" s="20">
        <f t="shared" ref="C3:G3" si="1">B3*(1+C2)</f>
        <v>88772.64</v>
      </c>
      <c r="D3" s="20">
        <f t="shared" si="1"/>
        <v>90991.956</v>
      </c>
      <c r="E3" s="20">
        <f t="shared" si="1"/>
        <v>93448.73881</v>
      </c>
      <c r="F3" s="20">
        <f t="shared" si="1"/>
        <v>96252.20098</v>
      </c>
      <c r="G3" s="20">
        <f t="shared" si="1"/>
        <v>99139.76701</v>
      </c>
    </row>
    <row r="4">
      <c r="A4" s="1" t="s">
        <v>25</v>
      </c>
      <c r="B4" s="12">
        <f>'Historical Financials'!D8</f>
        <v>0.2269050464</v>
      </c>
      <c r="C4" s="23">
        <v>0.23</v>
      </c>
      <c r="D4" s="24">
        <v>0.232</v>
      </c>
      <c r="E4" s="24">
        <v>0.234</v>
      </c>
      <c r="F4" s="24">
        <v>0.235</v>
      </c>
      <c r="G4" s="24">
        <v>0.235</v>
      </c>
    </row>
    <row r="5">
      <c r="A5" s="1" t="s">
        <v>16</v>
      </c>
      <c r="B5" s="16">
        <f>'Historical Financials'!D3</f>
        <v>19748</v>
      </c>
      <c r="C5" s="20">
        <f t="shared" ref="C5:G5" si="2">C3*C4</f>
        <v>20417.7072</v>
      </c>
      <c r="D5" s="20">
        <f t="shared" si="2"/>
        <v>21110.13379</v>
      </c>
      <c r="E5" s="20">
        <f t="shared" si="2"/>
        <v>21867.00488</v>
      </c>
      <c r="F5" s="20">
        <f t="shared" si="2"/>
        <v>22619.26723</v>
      </c>
      <c r="G5" s="20">
        <f t="shared" si="2"/>
        <v>23297.84525</v>
      </c>
    </row>
    <row r="6">
      <c r="A6" s="1" t="s">
        <v>33</v>
      </c>
      <c r="B6" s="12">
        <f>'Historical Financials'!D9</f>
        <v>0.2077342101</v>
      </c>
      <c r="C6" s="23">
        <v>0.21</v>
      </c>
      <c r="D6" s="23">
        <v>0.21</v>
      </c>
      <c r="E6" s="23">
        <v>0.21</v>
      </c>
      <c r="F6" s="23">
        <v>0.21</v>
      </c>
      <c r="G6" s="23">
        <v>0.21</v>
      </c>
    </row>
    <row r="7">
      <c r="A7" s="1" t="s">
        <v>48</v>
      </c>
      <c r="B7" s="20">
        <f t="shared" ref="B7:G7" si="3">B5*(1-B6)</f>
        <v>15645.66482</v>
      </c>
      <c r="C7" s="20">
        <f t="shared" si="3"/>
        <v>16129.98869</v>
      </c>
      <c r="D7" s="20">
        <f t="shared" si="3"/>
        <v>16677.0057</v>
      </c>
      <c r="E7" s="20">
        <f t="shared" si="3"/>
        <v>17274.93386</v>
      </c>
      <c r="F7" s="20">
        <f t="shared" si="3"/>
        <v>17869.22111</v>
      </c>
      <c r="G7" s="20">
        <f t="shared" si="3"/>
        <v>18405.29774</v>
      </c>
    </row>
    <row r="8">
      <c r="A8" s="1" t="s">
        <v>51</v>
      </c>
      <c r="B8" s="12">
        <f>'Historical Financials'!D25</f>
        <v>0.03630848424</v>
      </c>
      <c r="C8" s="32">
        <v>0.035</v>
      </c>
      <c r="D8" s="32">
        <v>0.035</v>
      </c>
      <c r="E8" s="32">
        <v>0.035</v>
      </c>
      <c r="F8" s="32">
        <v>0.035</v>
      </c>
      <c r="G8" s="32">
        <v>0.035</v>
      </c>
    </row>
    <row r="9">
      <c r="A9" s="1" t="s">
        <v>34</v>
      </c>
      <c r="B9" s="16">
        <f>'Historical Financials'!D11</f>
        <v>3160</v>
      </c>
      <c r="C9" s="20">
        <f t="shared" ref="C9:G9" si="4">C3*C8</f>
        <v>3107.0424</v>
      </c>
      <c r="D9" s="20">
        <f t="shared" si="4"/>
        <v>3184.71846</v>
      </c>
      <c r="E9" s="20">
        <f t="shared" si="4"/>
        <v>3270.705858</v>
      </c>
      <c r="F9" s="20">
        <f t="shared" si="4"/>
        <v>3368.827034</v>
      </c>
      <c r="G9" s="20">
        <f t="shared" si="4"/>
        <v>3469.891845</v>
      </c>
    </row>
    <row r="10">
      <c r="A10" s="1" t="s">
        <v>56</v>
      </c>
      <c r="B10" s="12">
        <f>'Historical Financials'!D26</f>
        <v>0.05065952753</v>
      </c>
      <c r="C10" s="23">
        <v>0.05</v>
      </c>
      <c r="D10" s="34">
        <v>0.05</v>
      </c>
      <c r="E10" s="35">
        <v>0.048</v>
      </c>
      <c r="F10" s="24">
        <v>0.047</v>
      </c>
      <c r="G10" s="24">
        <v>0.045</v>
      </c>
      <c r="H10" s="36"/>
    </row>
    <row r="11">
      <c r="A11" s="1" t="s">
        <v>58</v>
      </c>
      <c r="B11" s="16">
        <f>'Historical Financials'!D12</f>
        <v>4409</v>
      </c>
      <c r="C11" s="20">
        <f t="shared" ref="C11:G11" si="5">C3*C10</f>
        <v>4438.632</v>
      </c>
      <c r="D11" s="20">
        <f t="shared" si="5"/>
        <v>4549.5978</v>
      </c>
      <c r="E11" s="20">
        <f t="shared" si="5"/>
        <v>4485.539463</v>
      </c>
      <c r="F11" s="20">
        <f t="shared" si="5"/>
        <v>4523.853446</v>
      </c>
      <c r="G11" s="20">
        <f t="shared" si="5"/>
        <v>4461.289515</v>
      </c>
    </row>
    <row r="12">
      <c r="A12" s="1" t="s">
        <v>60</v>
      </c>
      <c r="B12" s="16">
        <f>'Historical Financials'!D20</f>
        <v>-11131</v>
      </c>
      <c r="C12" s="20">
        <f t="shared" ref="C12:G12" si="6">C3*($B$12/$B$3)</f>
        <v>-11353.62</v>
      </c>
      <c r="D12" s="20">
        <f t="shared" si="6"/>
        <v>-11637.4605</v>
      </c>
      <c r="E12" s="20">
        <f t="shared" si="6"/>
        <v>-11951.67193</v>
      </c>
      <c r="F12" s="20">
        <f t="shared" si="6"/>
        <v>-12310.22209</v>
      </c>
      <c r="G12" s="20">
        <f t="shared" si="6"/>
        <v>-12679.52875</v>
      </c>
    </row>
    <row r="13">
      <c r="A13" s="1" t="s">
        <v>52</v>
      </c>
      <c r="B13" s="16">
        <f>'Historical Financials'!D21</f>
        <v>-422</v>
      </c>
      <c r="C13" s="20">
        <f t="shared" ref="C13:G13" si="7">C12-B12</f>
        <v>-222.62</v>
      </c>
      <c r="D13" s="20">
        <f t="shared" si="7"/>
        <v>-283.8405</v>
      </c>
      <c r="E13" s="20">
        <f t="shared" si="7"/>
        <v>-314.2114335</v>
      </c>
      <c r="F13" s="20">
        <f t="shared" si="7"/>
        <v>-358.550158</v>
      </c>
      <c r="G13" s="20">
        <f t="shared" si="7"/>
        <v>-369.3066627</v>
      </c>
    </row>
    <row r="14">
      <c r="A14" s="1" t="s">
        <v>55</v>
      </c>
      <c r="B14" s="20">
        <f t="shared" ref="B14:G14" si="8">B7+B9-B11-B13</f>
        <v>14818.66482</v>
      </c>
      <c r="C14" s="20">
        <f t="shared" si="8"/>
        <v>15021.01909</v>
      </c>
      <c r="D14" s="20">
        <f t="shared" si="8"/>
        <v>15595.96686</v>
      </c>
      <c r="E14" s="20">
        <f t="shared" si="8"/>
        <v>16374.31169</v>
      </c>
      <c r="F14" s="20">
        <f t="shared" si="8"/>
        <v>17072.74486</v>
      </c>
      <c r="G14" s="20">
        <f t="shared" si="8"/>
        <v>17783.20674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63"/>
    <col customWidth="1" min="4" max="4" width="41.88"/>
  </cols>
  <sheetData>
    <row r="1">
      <c r="A1" s="1" t="s">
        <v>1</v>
      </c>
      <c r="B1" s="1" t="s">
        <v>4</v>
      </c>
      <c r="C1" s="3"/>
      <c r="D1" s="3"/>
      <c r="E1" s="3"/>
      <c r="F1" s="3"/>
    </row>
    <row r="2">
      <c r="A2" s="1" t="s">
        <v>7</v>
      </c>
      <c r="B2" s="5">
        <v>0.051</v>
      </c>
      <c r="C2" s="3"/>
      <c r="D2" s="7" t="s">
        <v>11</v>
      </c>
      <c r="E2" s="8">
        <v>34508.0</v>
      </c>
      <c r="F2" s="3"/>
    </row>
    <row r="3">
      <c r="A3" s="1" t="s">
        <v>17</v>
      </c>
      <c r="B3" s="9">
        <v>0.3843</v>
      </c>
      <c r="C3" s="3"/>
      <c r="D3" s="7" t="s">
        <v>19</v>
      </c>
      <c r="E3" s="8">
        <v>877.0</v>
      </c>
      <c r="F3" s="3"/>
    </row>
    <row r="4">
      <c r="A4" s="1" t="s">
        <v>20</v>
      </c>
      <c r="B4" s="10">
        <v>0.042</v>
      </c>
      <c r="C4" s="3"/>
      <c r="D4" s="7" t="s">
        <v>22</v>
      </c>
      <c r="E4" s="15">
        <f>AVERAGE(E2,B8)</f>
        <v>34323</v>
      </c>
      <c r="F4" s="3"/>
    </row>
    <row r="5">
      <c r="A5" s="1" t="s">
        <v>23</v>
      </c>
      <c r="B5" s="13">
        <f>B2+B3*B4</f>
        <v>0.0671406</v>
      </c>
      <c r="C5" s="3"/>
      <c r="D5" s="3"/>
      <c r="E5" s="3"/>
      <c r="F5" s="3"/>
    </row>
    <row r="6">
      <c r="A6" s="1" t="s">
        <v>24</v>
      </c>
      <c r="B6" s="18">
        <v>11296.0</v>
      </c>
      <c r="C6" s="3"/>
      <c r="D6" s="7" t="s">
        <v>26</v>
      </c>
      <c r="E6" s="19">
        <v>159.35</v>
      </c>
      <c r="F6" s="3"/>
    </row>
    <row r="7">
      <c r="A7" s="1" t="s">
        <v>27</v>
      </c>
      <c r="B7" s="18">
        <v>22842.0</v>
      </c>
      <c r="C7" s="3"/>
      <c r="D7" s="7" t="s">
        <v>28</v>
      </c>
      <c r="E7" s="19">
        <v>2323.859</v>
      </c>
      <c r="F7" s="3"/>
    </row>
    <row r="8">
      <c r="A8" s="1" t="s">
        <v>29</v>
      </c>
      <c r="B8" s="21">
        <f>SUM(B6:B7)</f>
        <v>34138</v>
      </c>
      <c r="C8" s="3"/>
      <c r="D8" s="3"/>
      <c r="E8" s="3"/>
      <c r="F8" s="3"/>
    </row>
    <row r="9">
      <c r="A9" s="1" t="s">
        <v>31</v>
      </c>
      <c r="B9" s="22">
        <f>E13</f>
        <v>0.0567</v>
      </c>
      <c r="C9" s="3"/>
      <c r="D9" s="7" t="s">
        <v>32</v>
      </c>
      <c r="E9" s="8">
        <v>68.3</v>
      </c>
      <c r="F9" s="3"/>
    </row>
    <row r="10">
      <c r="A10" s="1" t="s">
        <v>33</v>
      </c>
      <c r="B10" s="25">
        <v>0.21</v>
      </c>
      <c r="C10" s="3"/>
      <c r="D10" s="7" t="s">
        <v>35</v>
      </c>
      <c r="E10" s="8">
        <v>20.5</v>
      </c>
      <c r="F10" s="3"/>
    </row>
    <row r="11">
      <c r="A11" s="1" t="s">
        <v>36</v>
      </c>
      <c r="B11" s="20">
        <f>E6*E7</f>
        <v>370306.9317</v>
      </c>
      <c r="C11" s="3"/>
      <c r="D11" s="7" t="s">
        <v>39</v>
      </c>
      <c r="E11" s="28">
        <f>E7+E9+E10</f>
        <v>2412.659</v>
      </c>
      <c r="F11" s="3"/>
    </row>
    <row r="12">
      <c r="A12" s="1" t="s">
        <v>43</v>
      </c>
      <c r="B12" s="29">
        <f>B11/(B8+B11)</f>
        <v>0.9155929588</v>
      </c>
      <c r="C12" s="3"/>
      <c r="D12" s="7" t="s">
        <v>46</v>
      </c>
      <c r="E12" s="31">
        <v>0.033</v>
      </c>
      <c r="F12" s="3"/>
    </row>
    <row r="13">
      <c r="A13" s="1" t="s">
        <v>47</v>
      </c>
      <c r="B13" s="13">
        <f>B8/(B8+B11)</f>
        <v>0.08440704118</v>
      </c>
      <c r="C13" s="3"/>
      <c r="D13" s="7" t="s">
        <v>49</v>
      </c>
      <c r="E13" s="31">
        <v>0.0567</v>
      </c>
      <c r="F13" s="3"/>
    </row>
    <row r="14">
      <c r="A14" s="1" t="s">
        <v>50</v>
      </c>
      <c r="B14" s="13">
        <f>B12*B5+B13*B9*(1-B10)</f>
        <v>0.06525430521</v>
      </c>
      <c r="C14" s="3"/>
      <c r="D14" s="3"/>
      <c r="E14" s="3"/>
      <c r="F14" s="3"/>
    </row>
    <row r="17">
      <c r="A17" s="11" t="s">
        <v>0</v>
      </c>
      <c r="B17" s="11">
        <v>2027.0</v>
      </c>
      <c r="C17" s="11">
        <v>2028.0</v>
      </c>
      <c r="D17" s="11">
        <v>2029.0</v>
      </c>
      <c r="E17" s="11">
        <v>2030.0</v>
      </c>
      <c r="F17" s="11">
        <v>2031.0</v>
      </c>
    </row>
    <row r="18">
      <c r="A18" s="11" t="s">
        <v>53</v>
      </c>
      <c r="B18" s="6">
        <v>1.0</v>
      </c>
      <c r="C18" s="6">
        <v>2.0</v>
      </c>
      <c r="D18" s="6">
        <v>3.0</v>
      </c>
      <c r="E18" s="6">
        <v>4.0</v>
      </c>
      <c r="F18" s="6">
        <v>5.0</v>
      </c>
    </row>
    <row r="19">
      <c r="A19" s="11" t="s">
        <v>54</v>
      </c>
      <c r="B19" s="20">
        <f>'DCF Forecast'!C14</f>
        <v>15021.01909</v>
      </c>
      <c r="C19" s="20">
        <f>'DCF Forecast'!D14</f>
        <v>15595.96686</v>
      </c>
      <c r="D19" s="20">
        <f>'DCF Forecast'!E14</f>
        <v>16374.31169</v>
      </c>
      <c r="E19" s="20">
        <f>'DCF Forecast'!F14</f>
        <v>17072.74486</v>
      </c>
      <c r="F19" s="20">
        <f>'DCF Forecast'!G14</f>
        <v>17783.20674</v>
      </c>
    </row>
    <row r="20">
      <c r="A20" s="11" t="s">
        <v>57</v>
      </c>
      <c r="B20" s="13">
        <f t="shared" ref="B20:F20" si="1">1/(1+$B$14)^B18</f>
        <v>0.9387429791</v>
      </c>
      <c r="C20" s="13">
        <f t="shared" si="1"/>
        <v>0.8812383809</v>
      </c>
      <c r="D20" s="13">
        <f t="shared" si="1"/>
        <v>0.827256343</v>
      </c>
      <c r="E20" s="13">
        <f t="shared" si="1"/>
        <v>0.7765810839</v>
      </c>
      <c r="F20" s="13">
        <f t="shared" si="1"/>
        <v>0.7290100402</v>
      </c>
    </row>
    <row r="21">
      <c r="A21" s="11" t="s">
        <v>59</v>
      </c>
      <c r="B21" s="20">
        <f t="shared" ref="B21:F21" si="2">B19*B20</f>
        <v>14100.87621</v>
      </c>
      <c r="C21" s="20">
        <f t="shared" si="2"/>
        <v>13743.76458</v>
      </c>
      <c r="D21" s="20">
        <f t="shared" si="2"/>
        <v>13545.7532</v>
      </c>
      <c r="E21" s="20">
        <f t="shared" si="2"/>
        <v>13258.37071</v>
      </c>
      <c r="F21" s="20">
        <f t="shared" si="2"/>
        <v>12964.13626</v>
      </c>
    </row>
    <row r="23">
      <c r="A23" s="26" t="s">
        <v>61</v>
      </c>
      <c r="B23" s="20">
        <f>SUM(B21:F21)</f>
        <v>67612.90096</v>
      </c>
    </row>
    <row r="25">
      <c r="A25" s="27" t="s">
        <v>62</v>
      </c>
      <c r="B25" s="38">
        <v>0.025</v>
      </c>
    </row>
    <row r="26">
      <c r="A26" s="27" t="s">
        <v>63</v>
      </c>
      <c r="B26" s="20">
        <f>F19*(1+B25)/(B14-B25)</f>
        <v>452815.837</v>
      </c>
    </row>
    <row r="27">
      <c r="A27" s="27" t="s">
        <v>64</v>
      </c>
      <c r="B27" s="20">
        <f>B26*F20</f>
        <v>330107.2916</v>
      </c>
    </row>
    <row r="28">
      <c r="A28" s="27" t="s">
        <v>65</v>
      </c>
      <c r="B28" s="20">
        <f>B23+B27</f>
        <v>397720.1925</v>
      </c>
    </row>
    <row r="30">
      <c r="A30" s="30" t="s">
        <v>29</v>
      </c>
      <c r="B30" s="16">
        <f>B8</f>
        <v>34138</v>
      </c>
    </row>
    <row r="31">
      <c r="A31" s="30" t="s">
        <v>66</v>
      </c>
      <c r="B31" s="6">
        <v>9942.0</v>
      </c>
    </row>
    <row r="32">
      <c r="A32" s="30" t="s">
        <v>67</v>
      </c>
      <c r="B32" s="20">
        <f>B30-B31</f>
        <v>24196</v>
      </c>
    </row>
    <row r="33">
      <c r="A33" s="30" t="s">
        <v>68</v>
      </c>
      <c r="B33" s="6">
        <v>230.0</v>
      </c>
    </row>
    <row r="34">
      <c r="A34" s="30" t="s">
        <v>69</v>
      </c>
      <c r="B34" s="6">
        <v>756.0</v>
      </c>
    </row>
    <row r="35">
      <c r="A35" s="30" t="s">
        <v>70</v>
      </c>
      <c r="B35" s="20">
        <f>B28-B32-B33</f>
        <v>373294.1925</v>
      </c>
    </row>
    <row r="37">
      <c r="A37" s="37" t="s">
        <v>71</v>
      </c>
      <c r="B37" s="20">
        <f>B35/E11</f>
        <v>154.7231468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25"/>
    <col customWidth="1" min="2" max="2" width="11.5"/>
    <col customWidth="1" min="3" max="3" width="13.5"/>
    <col customWidth="1" min="4" max="4" width="12.63"/>
    <col customWidth="1" min="5" max="5" width="18.75"/>
  </cols>
  <sheetData>
    <row r="1">
      <c r="A1" s="1" t="s">
        <v>0</v>
      </c>
      <c r="B1" s="1">
        <v>2024.0</v>
      </c>
      <c r="C1" s="1">
        <v>2025.0</v>
      </c>
      <c r="D1" s="1">
        <v>2026.0</v>
      </c>
      <c r="E1" s="1" t="s">
        <v>8</v>
      </c>
    </row>
    <row r="2">
      <c r="A2" s="1" t="s">
        <v>9</v>
      </c>
      <c r="B2" s="6">
        <v>84039.0</v>
      </c>
      <c r="C2" s="6">
        <v>84284.0</v>
      </c>
      <c r="D2" s="6">
        <v>87032.0</v>
      </c>
    </row>
    <row r="3">
      <c r="A3" s="1" t="s">
        <v>16</v>
      </c>
      <c r="B3" s="6">
        <v>18545.0</v>
      </c>
      <c r="C3" s="6">
        <v>20451.0</v>
      </c>
      <c r="D3" s="6">
        <v>19748.0</v>
      </c>
    </row>
    <row r="4">
      <c r="A4" s="1" t="s">
        <v>18</v>
      </c>
      <c r="B4" s="6">
        <v>3787.0</v>
      </c>
      <c r="C4" s="6">
        <v>4102.0</v>
      </c>
      <c r="D4" s="6">
        <v>4233.0</v>
      </c>
    </row>
    <row r="5">
      <c r="A5" s="1" t="s">
        <v>21</v>
      </c>
      <c r="B5" s="6">
        <v>18761.0</v>
      </c>
      <c r="C5" s="6">
        <v>20167.0</v>
      </c>
      <c r="D5" s="6">
        <v>20377.0</v>
      </c>
    </row>
    <row r="7">
      <c r="A7" s="11" t="s">
        <v>15</v>
      </c>
      <c r="B7" s="13"/>
      <c r="C7" s="13">
        <f t="shared" ref="C7:D7" si="1">(C2/B2)-1</f>
        <v>0.002915313128</v>
      </c>
      <c r="D7" s="13">
        <f t="shared" si="1"/>
        <v>0.03260405296</v>
      </c>
    </row>
    <row r="8">
      <c r="A8" s="11" t="s">
        <v>25</v>
      </c>
      <c r="B8" s="13">
        <f t="shared" ref="B8:D8" si="2">B3/B2</f>
        <v>0.220671355</v>
      </c>
      <c r="C8" s="13">
        <f t="shared" si="2"/>
        <v>0.2426439182</v>
      </c>
      <c r="D8" s="13">
        <f t="shared" si="2"/>
        <v>0.2269050464</v>
      </c>
    </row>
    <row r="9">
      <c r="A9" s="11" t="s">
        <v>30</v>
      </c>
      <c r="B9" s="13">
        <f t="shared" ref="B9:D9" si="3">B4/B5</f>
        <v>0.2018549118</v>
      </c>
      <c r="C9" s="13">
        <f t="shared" si="3"/>
        <v>0.2034015967</v>
      </c>
      <c r="D9" s="13">
        <f t="shared" si="3"/>
        <v>0.2077342101</v>
      </c>
    </row>
    <row r="11">
      <c r="A11" s="26" t="s">
        <v>34</v>
      </c>
      <c r="B11" s="6">
        <v>2896.0</v>
      </c>
      <c r="C11" s="6">
        <v>2847.0</v>
      </c>
      <c r="D11" s="6">
        <v>3160.0</v>
      </c>
    </row>
    <row r="12">
      <c r="A12" s="26" t="s">
        <v>37</v>
      </c>
      <c r="B12" s="6">
        <v>3322.0</v>
      </c>
      <c r="C12" s="6">
        <v>3773.0</v>
      </c>
      <c r="D12" s="6">
        <v>4409.0</v>
      </c>
    </row>
    <row r="14">
      <c r="A14" s="27" t="s">
        <v>38</v>
      </c>
      <c r="B14" s="6">
        <v>6118.0</v>
      </c>
      <c r="C14" s="6">
        <v>6185.0</v>
      </c>
      <c r="D14" s="6">
        <v>6056.0</v>
      </c>
      <c r="E14" s="6">
        <v>5471.0</v>
      </c>
    </row>
    <row r="15">
      <c r="A15" s="27" t="s">
        <v>40</v>
      </c>
      <c r="B15" s="6">
        <v>7016.0</v>
      </c>
      <c r="C15" s="6">
        <v>7551.0</v>
      </c>
      <c r="D15" s="6">
        <v>8170.0</v>
      </c>
      <c r="E15" s="6">
        <v>7073.0</v>
      </c>
    </row>
    <row r="16">
      <c r="A16" s="27" t="s">
        <v>41</v>
      </c>
      <c r="B16" s="6">
        <v>2095.0</v>
      </c>
      <c r="C16" s="6">
        <v>2100.0</v>
      </c>
      <c r="D16" s="6">
        <v>2040.0</v>
      </c>
      <c r="E16" s="6">
        <v>1858.0</v>
      </c>
    </row>
    <row r="17">
      <c r="A17" s="27" t="s">
        <v>42</v>
      </c>
      <c r="B17" s="6">
        <v>15364.0</v>
      </c>
      <c r="C17" s="6">
        <v>15227.0</v>
      </c>
      <c r="D17" s="6">
        <v>16306.0</v>
      </c>
      <c r="E17" s="6">
        <v>14598.0</v>
      </c>
    </row>
    <row r="18">
      <c r="A18" s="27" t="s">
        <v>44</v>
      </c>
      <c r="B18" s="6">
        <v>11073.0</v>
      </c>
      <c r="C18" s="6">
        <v>11318.0</v>
      </c>
      <c r="D18" s="6">
        <v>11091.0</v>
      </c>
      <c r="E18" s="6">
        <v>10929.0</v>
      </c>
    </row>
    <row r="20">
      <c r="A20" s="30" t="s">
        <v>45</v>
      </c>
      <c r="B20" s="20">
        <f t="shared" ref="B20:E20" si="4">SUM(B14:B16)-SUM(B17:B18)</f>
        <v>-11208</v>
      </c>
      <c r="C20" s="20">
        <f t="shared" si="4"/>
        <v>-10709</v>
      </c>
      <c r="D20" s="20">
        <f t="shared" si="4"/>
        <v>-11131</v>
      </c>
      <c r="E20" s="16">
        <f t="shared" si="4"/>
        <v>-11125</v>
      </c>
    </row>
    <row r="21">
      <c r="A21" s="30" t="s">
        <v>52</v>
      </c>
      <c r="B21" s="20">
        <f>B20-E20</f>
        <v>-83</v>
      </c>
      <c r="C21" s="20">
        <f t="shared" ref="C21:D21" si="5">C20-B20</f>
        <v>499</v>
      </c>
      <c r="D21" s="20">
        <f t="shared" si="5"/>
        <v>-422</v>
      </c>
    </row>
    <row r="23">
      <c r="A23" s="33" t="s">
        <v>55</v>
      </c>
      <c r="B23" s="20">
        <f t="shared" ref="B23:D23" si="6">B3*(1-B9)+B11-B12-B21</f>
        <v>14458.60066</v>
      </c>
      <c r="C23" s="20">
        <f t="shared" si="6"/>
        <v>14866.23395</v>
      </c>
      <c r="D23" s="20">
        <f t="shared" si="6"/>
        <v>14818.66482</v>
      </c>
    </row>
    <row r="25">
      <c r="A25" s="37" t="s">
        <v>51</v>
      </c>
      <c r="B25" s="13">
        <f t="shared" ref="B25:D25" si="7">B11/B2</f>
        <v>0.0344601911</v>
      </c>
      <c r="C25" s="13">
        <f t="shared" si="7"/>
        <v>0.03377865313</v>
      </c>
      <c r="D25" s="13">
        <f t="shared" si="7"/>
        <v>0.03630848424</v>
      </c>
    </row>
    <row r="26">
      <c r="A26" s="37" t="s">
        <v>56</v>
      </c>
      <c r="B26" s="13">
        <f t="shared" ref="B26:D26" si="8">B12/B2</f>
        <v>0.03952926617</v>
      </c>
      <c r="C26" s="13">
        <f t="shared" si="8"/>
        <v>0.04476531726</v>
      </c>
      <c r="D26" s="13">
        <f t="shared" si="8"/>
        <v>0.05065952753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s>
  <sheetData>
    <row r="1">
      <c r="A1" s="2" t="s">
        <v>2</v>
      </c>
    </row>
    <row r="3">
      <c r="A3" s="1" t="s">
        <v>6</v>
      </c>
      <c r="B3" s="4">
        <v>0.015</v>
      </c>
      <c r="C3" s="4">
        <v>0.02</v>
      </c>
      <c r="D3" s="4">
        <v>0.025</v>
      </c>
      <c r="E3" s="4">
        <v>0.03</v>
      </c>
      <c r="F3" s="4">
        <v>0.035</v>
      </c>
    </row>
    <row r="4">
      <c r="A4" s="4">
        <f>'DCF Valuation'!B14-1%</f>
        <v>0.05525430521</v>
      </c>
      <c r="B4" s="17">
        <f>(SUMPRODUCT('DCF Valuation'!$B$19:$F$19/(1+$A4)^'DCF Valuation'!$B$18:$F$18)+('DCF Valuation'!$F$19*(1+B$3)/($A4-B$3))/(1+$A4)^5-'DCF Valuation'!$B$32-'DCF Valuation'!$B$33)/'DCF Valuation'!$E$11</f>
        <v>160.726559</v>
      </c>
      <c r="C4" s="17">
        <f>(SUMPRODUCT('DCF Valuation'!$B$19:$F$19/(1+$A4)^'DCF Valuation'!$B$18:$F$18)+('DCF Valuation'!$F$19*(1+C$3)/($A4-C$3))/(1+$A4)^5-'DCF Valuation'!$B$32-'DCF Valuation'!$B$33)/'DCF Valuation'!$E$11</f>
        <v>181.6691838</v>
      </c>
      <c r="D4" s="17">
        <f>(SUMPRODUCT('DCF Valuation'!$B$19:$F$19/(1+$A4)^'DCF Valuation'!$B$18:$F$18)+('DCF Valuation'!$F$19*(1+D$3)/($A4-D$3))/(1+$A4)^5-'DCF Valuation'!$B$32-'DCF Valuation'!$B$33)/'DCF Valuation'!$E$11</f>
        <v>209.5340052</v>
      </c>
      <c r="E4" s="17">
        <f>(SUMPRODUCT('DCF Valuation'!$B$19:$F$19/(1+$A4)^'DCF Valuation'!$B$18:$F$18)+('DCF Valuation'!$F$19*(1+E$3)/($A4-E$3))/(1+$A4)^5-'DCF Valuation'!$B$32-'DCF Valuation'!$B$33)/'DCF Valuation'!$E$11</f>
        <v>248.4325181</v>
      </c>
      <c r="F4" s="17">
        <f>(SUMPRODUCT('DCF Valuation'!$B$19:$F$19/(1+$A4)^'DCF Valuation'!$B$18:$F$18)+('DCF Valuation'!$F$19*(1+F$3)/($A4-F$3))/(1+$A4)^5-'DCF Valuation'!$B$32-'DCF Valuation'!$B$33)/'DCF Valuation'!$E$11</f>
        <v>306.5360901</v>
      </c>
    </row>
    <row r="5">
      <c r="A5" s="4">
        <f>'DCF Valuation'!B14-0.5%</f>
        <v>0.06025430521</v>
      </c>
      <c r="B5" s="17">
        <f>(SUMPRODUCT('DCF Valuation'!$B$19:$F$19/(1+$A5)^'DCF Valuation'!$B$18:$F$18)+('DCF Valuation'!$F$19*(1+B$3)/($A5-B$3))/(1+$A5)^5-'DCF Valuation'!$B$32-'DCF Valuation'!$B$33)/'DCF Valuation'!$E$11</f>
        <v>141.6808295</v>
      </c>
      <c r="C5" s="17">
        <f>(SUMPRODUCT('DCF Valuation'!$B$19:$F$19/(1+$A5)^'DCF Valuation'!$B$18:$F$18)+('DCF Valuation'!$F$19*(1+C$3)/($A5-C$3))/(1+$A5)^5-'DCF Valuation'!$B$32-'DCF Valuation'!$B$33)/'DCF Valuation'!$E$11</f>
        <v>157.6901067</v>
      </c>
      <c r="D5" s="17">
        <f>(SUMPRODUCT('DCF Valuation'!$B$19:$F$19/(1+$A5)^'DCF Valuation'!$B$18:$F$18)+('DCF Valuation'!$F$19*(1+D$3)/($A5-D$3))/(1+$A5)^5-'DCF Valuation'!$B$32-'DCF Valuation'!$B$33)/'DCF Valuation'!$E$11</f>
        <v>178.2404681</v>
      </c>
      <c r="E5" s="17">
        <f>(SUMPRODUCT('DCF Valuation'!$B$19:$F$19/(1+$A5)^'DCF Valuation'!$B$18:$F$18)+('DCF Valuation'!$F$19*(1+E$3)/($A5-E$3))/(1+$A5)^5-'DCF Valuation'!$B$32-'DCF Valuation'!$B$33)/'DCF Valuation'!$E$11</f>
        <v>205.5833707</v>
      </c>
      <c r="F5" s="17">
        <f>(SUMPRODUCT('DCF Valuation'!$B$19:$F$19/(1+$A5)^'DCF Valuation'!$B$18:$F$18)+('DCF Valuation'!$F$19*(1+F$3)/($A5-F$3))/(1+$A5)^5-'DCF Valuation'!$B$32-'DCF Valuation'!$B$33)/'DCF Valuation'!$E$11</f>
        <v>243.7532996</v>
      </c>
    </row>
    <row r="6">
      <c r="A6" s="4">
        <f>'DCF Valuation'!B14</f>
        <v>0.06525430521</v>
      </c>
      <c r="B6" s="17">
        <f>(SUMPRODUCT('DCF Valuation'!$B$19:$F$19/(1+$A6)^'DCF Valuation'!$B$18:$F$18)+('DCF Valuation'!$F$19*(1+B$3)/($A6-B$3))/(1+$A6)^5-'DCF Valuation'!$B$32-'DCF Valuation'!$B$33)/'DCF Valuation'!$E$11</f>
        <v>126.4277796</v>
      </c>
      <c r="C6" s="17">
        <f>(SUMPRODUCT('DCF Valuation'!$B$19:$F$19/(1+$A6)^'DCF Valuation'!$B$18:$F$18)+('DCF Valuation'!$F$19*(1+C$3)/($A6-C$3))/(1+$A6)^5-'DCF Valuation'!$B$32-'DCF Valuation'!$B$33)/'DCF Valuation'!$E$11</f>
        <v>139.012332</v>
      </c>
      <c r="D6" s="17">
        <f>(SUMPRODUCT('DCF Valuation'!$B$19:$F$19/(1+$A6)^'DCF Valuation'!$B$18:$F$18)+('DCF Valuation'!$F$19*(1+D$3)/($A6-D$3))/(1+$A6)^5-'DCF Valuation'!$B$32-'DCF Valuation'!$B$33)/'DCF Valuation'!$E$11</f>
        <v>154.7231468</v>
      </c>
      <c r="E6" s="17">
        <f>(SUMPRODUCT('DCF Valuation'!$B$19:$F$19/(1+$A6)^'DCF Valuation'!$B$18:$F$18)+('DCF Valuation'!$F$19*(1+E$3)/($A6-E$3))/(1+$A6)^5-'DCF Valuation'!$B$32-'DCF Valuation'!$B$33)/'DCF Valuation'!$E$11</f>
        <v>174.890386</v>
      </c>
      <c r="F6" s="17">
        <f>(SUMPRODUCT('DCF Valuation'!$B$19:$F$19/(1+$A6)^'DCF Valuation'!$B$18:$F$18)+('DCF Valuation'!$F$19*(1+F$3)/($A6-F$3))/(1+$A6)^5-'DCF Valuation'!$B$32-'DCF Valuation'!$B$33)/'DCF Valuation'!$E$11</f>
        <v>201.7235325</v>
      </c>
    </row>
    <row r="7">
      <c r="A7" s="4">
        <f>'DCF Valuation'!B14+0.5%</f>
        <v>0.07025430521</v>
      </c>
      <c r="B7" s="17">
        <f>(SUMPRODUCT('DCF Valuation'!$B$19:$F$19/(1+$A7)^'DCF Valuation'!$B$18:$F$18)+('DCF Valuation'!$F$19*(1+B$3)/($A7-B$3))/(1+$A7)^5-'DCF Valuation'!$B$32-'DCF Valuation'!$B$33)/'DCF Valuation'!$E$11</f>
        <v>113.9377411</v>
      </c>
      <c r="C7" s="17">
        <f>(SUMPRODUCT('DCF Valuation'!$B$19:$F$19/(1+$A7)^'DCF Valuation'!$B$18:$F$18)+('DCF Valuation'!$F$19*(1+C$3)/($A7-C$3))/(1+$A7)^5-'DCF Valuation'!$B$32-'DCF Valuation'!$B$33)/'DCF Valuation'!$E$11</f>
        <v>124.0534613</v>
      </c>
      <c r="D7" s="17">
        <f>(SUMPRODUCT('DCF Valuation'!$B$19:$F$19/(1+$A7)^'DCF Valuation'!$B$18:$F$18)+('DCF Valuation'!$F$19*(1+D$3)/($A7-D$3))/(1+$A7)^5-'DCF Valuation'!$B$32-'DCF Valuation'!$B$33)/'DCF Valuation'!$E$11</f>
        <v>136.4044871</v>
      </c>
      <c r="E7" s="17">
        <f>(SUMPRODUCT('DCF Valuation'!$B$19:$F$19/(1+$A7)^'DCF Valuation'!$B$18:$F$18)+('DCF Valuation'!$F$19*(1+E$3)/($A7-E$3))/(1+$A7)^5-'DCF Valuation'!$B$32-'DCF Valuation'!$B$33)/'DCF Valuation'!$E$11</f>
        <v>151.8237626</v>
      </c>
      <c r="F7" s="17">
        <f>(SUMPRODUCT('DCF Valuation'!$B$19:$F$19/(1+$A7)^'DCF Valuation'!$B$18:$F$18)+('DCF Valuation'!$F$19*(1+F$3)/($A7-F$3))/(1+$A7)^5-'DCF Valuation'!$B$32-'DCF Valuation'!$B$33)/'DCF Valuation'!$E$11</f>
        <v>171.6167664</v>
      </c>
    </row>
    <row r="8">
      <c r="A8" s="4">
        <f>'DCF Valuation'!B14+1%</f>
        <v>0.07525430521</v>
      </c>
      <c r="B8" s="17">
        <f>(SUMPRODUCT('DCF Valuation'!$B$19:$F$19/(1+$A8)^'DCF Valuation'!$B$18:$F$18)+('DCF Valuation'!$F$19*(1+B$3)/($A8-B$3))/(1+$A8)^5-'DCF Valuation'!$B$32-'DCF Valuation'!$B$33)/'DCF Valuation'!$E$11</f>
        <v>103.5228216</v>
      </c>
      <c r="C8" s="17">
        <f>(SUMPRODUCT('DCF Valuation'!$B$19:$F$19/(1+$A8)^'DCF Valuation'!$B$18:$F$18)+('DCF Valuation'!$F$19*(1+C$3)/($A8-C$3))/(1+$A8)^5-'DCF Valuation'!$B$32-'DCF Valuation'!$B$33)/'DCF Valuation'!$E$11</f>
        <v>111.8038672</v>
      </c>
      <c r="D8" s="17">
        <f>(SUMPRODUCT('DCF Valuation'!$B$19:$F$19/(1+$A8)^'DCF Valuation'!$B$18:$F$18)+('DCF Valuation'!$F$19*(1+D$3)/($A8-D$3))/(1+$A8)^5-'DCF Valuation'!$B$32-'DCF Valuation'!$B$33)/'DCF Valuation'!$E$11</f>
        <v>121.7327408</v>
      </c>
      <c r="E8" s="17">
        <f>(SUMPRODUCT('DCF Valuation'!$B$19:$F$19/(1+$A8)^'DCF Valuation'!$B$18:$F$18)+('DCF Valuation'!$F$19*(1+E$3)/($A8-E$3))/(1+$A8)^5-'DCF Valuation'!$B$32-'DCF Valuation'!$B$33)/'DCF Valuation'!$E$11</f>
        <v>133.8556318</v>
      </c>
      <c r="F8" s="17">
        <f>(SUMPRODUCT('DCF Valuation'!$B$19:$F$19/(1+$A8)^'DCF Valuation'!$B$18:$F$18)+('DCF Valuation'!$F$19*(1+F$3)/($A8-F$3))/(1+$A8)^5-'DCF Valuation'!$B$32-'DCF Valuation'!$B$33)/'DCF Valuation'!$E$11</f>
        <v>148.9900992</v>
      </c>
    </row>
  </sheetData>
  <conditionalFormatting sqref="B4:F8">
    <cfRule type="colorScale" priority="1">
      <colorScale>
        <cfvo type="min"/>
        <cfvo type="percentile" val="50"/>
        <cfvo type="max"/>
        <color rgb="FF57BB8A"/>
        <color rgb="FFFFD666"/>
        <color rgb="FFE67C73"/>
      </colorScale>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s>
  <sheetData>
    <row r="1">
      <c r="A1" s="1" t="s">
        <v>72</v>
      </c>
      <c r="B1" s="1" t="s">
        <v>4</v>
      </c>
    </row>
    <row r="2">
      <c r="A2" s="1" t="s">
        <v>73</v>
      </c>
      <c r="B2" s="16">
        <f>'DCF Valuation'!E6</f>
        <v>159.35</v>
      </c>
    </row>
    <row r="3">
      <c r="A3" s="1" t="s">
        <v>50</v>
      </c>
      <c r="B3" s="12">
        <f>'DCF Valuation'!B14</f>
        <v>0.06525430521</v>
      </c>
    </row>
    <row r="4">
      <c r="A4" s="1" t="s">
        <v>62</v>
      </c>
      <c r="B4" s="39">
        <f>'DCF Valuation'!B25</f>
        <v>0.025</v>
      </c>
    </row>
    <row r="5">
      <c r="A5" s="1" t="s">
        <v>39</v>
      </c>
      <c r="B5" s="16">
        <f>'DCF Valuation'!E11</f>
        <v>2412.659</v>
      </c>
    </row>
    <row r="6">
      <c r="A6" s="1" t="s">
        <v>74</v>
      </c>
      <c r="B6" s="16">
        <f>'DCF Valuation'!B32</f>
        <v>24196</v>
      </c>
    </row>
    <row r="7">
      <c r="A7" s="1" t="s">
        <v>75</v>
      </c>
      <c r="B7" s="16">
        <f>'DCF Valuation'!B33</f>
        <v>230</v>
      </c>
    </row>
    <row r="8">
      <c r="A8" s="1" t="s">
        <v>76</v>
      </c>
      <c r="B8" s="40">
        <v>0.031942</v>
      </c>
    </row>
    <row r="9">
      <c r="A9" s="1" t="s">
        <v>77</v>
      </c>
      <c r="B9" s="43">
        <f>(SUM(C28:G28)+(G26*(1+B4)/(B3-B4))/(1+B3)^5-B6-B7)/B5</f>
        <v>159.3503598</v>
      </c>
    </row>
    <row r="10">
      <c r="A10" s="1" t="s">
        <v>84</v>
      </c>
      <c r="B10" s="43">
        <f>B9-B2</f>
        <v>0.0003598313427</v>
      </c>
    </row>
    <row r="12">
      <c r="A12" s="11" t="s">
        <v>0</v>
      </c>
      <c r="B12" s="11" t="s">
        <v>3</v>
      </c>
      <c r="C12" s="11" t="s">
        <v>5</v>
      </c>
      <c r="D12" s="11" t="s">
        <v>10</v>
      </c>
      <c r="E12" s="11" t="s">
        <v>12</v>
      </c>
      <c r="F12" s="11" t="s">
        <v>13</v>
      </c>
      <c r="G12" s="11" t="s">
        <v>14</v>
      </c>
    </row>
    <row r="13">
      <c r="A13" s="11" t="s">
        <v>15</v>
      </c>
      <c r="C13" s="44">
        <f t="shared" ref="C13:G13" si="1">$B$8</f>
        <v>0.031942</v>
      </c>
      <c r="D13" s="44">
        <f t="shared" si="1"/>
        <v>0.031942</v>
      </c>
      <c r="E13" s="44">
        <f t="shared" si="1"/>
        <v>0.031942</v>
      </c>
      <c r="F13" s="44">
        <f t="shared" si="1"/>
        <v>0.031942</v>
      </c>
      <c r="G13" s="44">
        <f t="shared" si="1"/>
        <v>0.031942</v>
      </c>
    </row>
    <row r="14">
      <c r="A14" s="11" t="s">
        <v>9</v>
      </c>
      <c r="B14" s="16">
        <f>'DCF Forecast'!B3</f>
        <v>87032</v>
      </c>
      <c r="C14" s="20">
        <f t="shared" ref="C14:G14" si="2">B14*(1+C13)</f>
        <v>89811.97614</v>
      </c>
      <c r="D14" s="20">
        <f t="shared" si="2"/>
        <v>92680.75029</v>
      </c>
      <c r="E14" s="20">
        <f t="shared" si="2"/>
        <v>95641.15881</v>
      </c>
      <c r="F14" s="20">
        <f t="shared" si="2"/>
        <v>98696.12871</v>
      </c>
      <c r="G14" s="20">
        <f t="shared" si="2"/>
        <v>101848.6804</v>
      </c>
    </row>
    <row r="15">
      <c r="A15" s="11" t="s">
        <v>25</v>
      </c>
      <c r="C15" s="45">
        <f>'DCF Forecast'!C4</f>
        <v>0.23</v>
      </c>
      <c r="D15" s="12">
        <f>'DCF Forecast'!D4</f>
        <v>0.232</v>
      </c>
      <c r="E15" s="12">
        <f>'DCF Forecast'!E4</f>
        <v>0.234</v>
      </c>
      <c r="F15" s="12">
        <f>'DCF Forecast'!F4</f>
        <v>0.235</v>
      </c>
      <c r="G15" s="12">
        <f>'DCF Forecast'!G4</f>
        <v>0.235</v>
      </c>
    </row>
    <row r="16">
      <c r="A16" s="11" t="s">
        <v>91</v>
      </c>
      <c r="C16" s="20">
        <f t="shared" ref="C16:G16" si="3">C14*C15</f>
        <v>20656.75451</v>
      </c>
      <c r="D16" s="20">
        <f t="shared" si="3"/>
        <v>21501.93407</v>
      </c>
      <c r="E16" s="20">
        <f t="shared" si="3"/>
        <v>22380.03116</v>
      </c>
      <c r="F16" s="20">
        <f t="shared" si="3"/>
        <v>23193.59025</v>
      </c>
      <c r="G16" s="20">
        <f t="shared" si="3"/>
        <v>23934.43991</v>
      </c>
    </row>
    <row r="17">
      <c r="A17" s="11" t="s">
        <v>33</v>
      </c>
      <c r="C17" s="45">
        <f>'DCF Forecast'!C6</f>
        <v>0.21</v>
      </c>
      <c r="D17" s="45">
        <f>'DCF Forecast'!D6</f>
        <v>0.21</v>
      </c>
      <c r="E17" s="45">
        <f>'DCF Forecast'!E6</f>
        <v>0.21</v>
      </c>
      <c r="F17" s="45">
        <f>'DCF Forecast'!F6</f>
        <v>0.21</v>
      </c>
      <c r="G17" s="45">
        <f>'DCF Forecast'!G6</f>
        <v>0.21</v>
      </c>
    </row>
    <row r="18">
      <c r="A18" s="11" t="s">
        <v>48</v>
      </c>
      <c r="C18" s="20">
        <f t="shared" ref="C18:G18" si="4">C16*(1-C17)</f>
        <v>16318.83607</v>
      </c>
      <c r="D18" s="20">
        <f t="shared" si="4"/>
        <v>16986.52791</v>
      </c>
      <c r="E18" s="20">
        <f t="shared" si="4"/>
        <v>17680.22462</v>
      </c>
      <c r="F18" s="20">
        <f t="shared" si="4"/>
        <v>18322.93629</v>
      </c>
      <c r="G18" s="20">
        <f t="shared" si="4"/>
        <v>18908.20753</v>
      </c>
    </row>
    <row r="19">
      <c r="A19" s="11" t="s">
        <v>51</v>
      </c>
      <c r="C19" s="12">
        <f>'DCF Forecast'!C8</f>
        <v>0.035</v>
      </c>
      <c r="D19" s="12">
        <f>'DCF Forecast'!D8</f>
        <v>0.035</v>
      </c>
      <c r="E19" s="12">
        <f>'DCF Forecast'!E8</f>
        <v>0.035</v>
      </c>
      <c r="F19" s="12">
        <f>'DCF Forecast'!F8</f>
        <v>0.035</v>
      </c>
      <c r="G19" s="12">
        <f>'DCF Forecast'!G8</f>
        <v>0.035</v>
      </c>
    </row>
    <row r="20">
      <c r="A20" s="11" t="s">
        <v>34</v>
      </c>
      <c r="C20" s="20">
        <f t="shared" ref="C20:G20" si="5">C14*C19</f>
        <v>3143.419165</v>
      </c>
      <c r="D20" s="20">
        <f t="shared" si="5"/>
        <v>3243.82626</v>
      </c>
      <c r="E20" s="20">
        <f t="shared" si="5"/>
        <v>3347.440558</v>
      </c>
      <c r="F20" s="20">
        <f t="shared" si="5"/>
        <v>3454.364505</v>
      </c>
      <c r="G20" s="20">
        <f t="shared" si="5"/>
        <v>3564.703816</v>
      </c>
    </row>
    <row r="21">
      <c r="A21" s="11" t="s">
        <v>56</v>
      </c>
      <c r="C21" s="45">
        <f>'DCF Forecast'!C10</f>
        <v>0.05</v>
      </c>
      <c r="D21" s="45">
        <f>'DCF Forecast'!D10</f>
        <v>0.05</v>
      </c>
      <c r="E21" s="39">
        <f>'DCF Forecast'!E10</f>
        <v>0.048</v>
      </c>
      <c r="F21" s="39">
        <f>'DCF Forecast'!F10</f>
        <v>0.047</v>
      </c>
      <c r="G21" s="39">
        <f>'DCF Forecast'!G10</f>
        <v>0.045</v>
      </c>
    </row>
    <row r="22">
      <c r="A22" s="11" t="s">
        <v>58</v>
      </c>
      <c r="C22" s="20">
        <f t="shared" ref="C22:G22" si="6">C14*C21</f>
        <v>4490.598807</v>
      </c>
      <c r="D22" s="20">
        <f t="shared" si="6"/>
        <v>4634.037514</v>
      </c>
      <c r="E22" s="20">
        <f t="shared" si="6"/>
        <v>4590.775623</v>
      </c>
      <c r="F22" s="20">
        <f t="shared" si="6"/>
        <v>4638.718049</v>
      </c>
      <c r="G22" s="20">
        <f t="shared" si="6"/>
        <v>4583.19062</v>
      </c>
    </row>
    <row r="23">
      <c r="A23" s="11" t="s">
        <v>92</v>
      </c>
      <c r="B23" s="16">
        <f>'DCF Forecast'!B12/'DCF Forecast'!B3</f>
        <v>-0.1278954867</v>
      </c>
      <c r="C23" s="16">
        <f t="shared" ref="C23:G23" si="7">$B$23</f>
        <v>-0.1278954867</v>
      </c>
      <c r="D23" s="16">
        <f t="shared" si="7"/>
        <v>-0.1278954867</v>
      </c>
      <c r="E23" s="16">
        <f t="shared" si="7"/>
        <v>-0.1278954867</v>
      </c>
      <c r="F23" s="16">
        <f t="shared" si="7"/>
        <v>-0.1278954867</v>
      </c>
      <c r="G23" s="16">
        <f t="shared" si="7"/>
        <v>-0.1278954867</v>
      </c>
    </row>
    <row r="24">
      <c r="A24" s="11" t="s">
        <v>60</v>
      </c>
      <c r="B24" s="16">
        <f>'DCF Forecast'!B12</f>
        <v>-11131</v>
      </c>
      <c r="C24" s="20">
        <f t="shared" ref="C24:G24" si="8">C14*C23</f>
        <v>-11486.5464</v>
      </c>
      <c r="D24" s="20">
        <f t="shared" si="8"/>
        <v>-11853.44967</v>
      </c>
      <c r="E24" s="20">
        <f t="shared" si="8"/>
        <v>-12232.07256</v>
      </c>
      <c r="F24" s="20">
        <f t="shared" si="8"/>
        <v>-12622.78942</v>
      </c>
      <c r="G24" s="20">
        <f t="shared" si="8"/>
        <v>-13025.98656</v>
      </c>
    </row>
    <row r="25">
      <c r="A25" s="11" t="s">
        <v>52</v>
      </c>
      <c r="C25" s="20">
        <f t="shared" ref="C25:G25" si="9">C24-B24</f>
        <v>-355.546402</v>
      </c>
      <c r="D25" s="20">
        <f t="shared" si="9"/>
        <v>-366.9032652</v>
      </c>
      <c r="E25" s="20">
        <f t="shared" si="9"/>
        <v>-378.6228893</v>
      </c>
      <c r="F25" s="20">
        <f t="shared" si="9"/>
        <v>-390.7168616</v>
      </c>
      <c r="G25" s="20">
        <f t="shared" si="9"/>
        <v>-403.1971396</v>
      </c>
    </row>
    <row r="26">
      <c r="A26" s="11" t="s">
        <v>93</v>
      </c>
      <c r="C26" s="20">
        <f t="shared" ref="C26:G26" si="10">C18+C20-C22-C25</f>
        <v>15327.20283</v>
      </c>
      <c r="D26" s="20">
        <f t="shared" si="10"/>
        <v>15963.21992</v>
      </c>
      <c r="E26" s="20">
        <f t="shared" si="10"/>
        <v>16815.51244</v>
      </c>
      <c r="F26" s="20">
        <f t="shared" si="10"/>
        <v>17529.29961</v>
      </c>
      <c r="G26" s="20">
        <f t="shared" si="10"/>
        <v>18292.91786</v>
      </c>
    </row>
    <row r="27">
      <c r="A27" s="11" t="s">
        <v>53</v>
      </c>
      <c r="C27" s="6">
        <v>1.0</v>
      </c>
      <c r="D27" s="6">
        <v>2.0</v>
      </c>
      <c r="E27" s="6">
        <v>3.0</v>
      </c>
      <c r="F27" s="6">
        <v>4.0</v>
      </c>
      <c r="G27" s="6">
        <v>5.0</v>
      </c>
    </row>
    <row r="28">
      <c r="A28" s="11" t="s">
        <v>59</v>
      </c>
      <c r="C28" s="20">
        <f t="shared" ref="C28:G28" si="11">C26/(1+$B$3)^C27</f>
        <v>14388.30404</v>
      </c>
      <c r="D28" s="20">
        <f t="shared" si="11"/>
        <v>14067.40208</v>
      </c>
      <c r="E28" s="20">
        <f t="shared" si="11"/>
        <v>13910.73933</v>
      </c>
      <c r="F28" s="20">
        <f t="shared" si="11"/>
        <v>13612.92249</v>
      </c>
      <c r="G28" s="20">
        <f t="shared" si="11"/>
        <v>13335.72079</v>
      </c>
    </row>
  </sheetData>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13"/>
    <col customWidth="1" min="3" max="3" width="10.63"/>
  </cols>
  <sheetData>
    <row r="1">
      <c r="A1" s="11" t="s">
        <v>0</v>
      </c>
      <c r="B1" s="11">
        <v>2027.0</v>
      </c>
      <c r="C1" s="11">
        <v>2028.0</v>
      </c>
    </row>
    <row r="2">
      <c r="A2" s="11" t="s">
        <v>78</v>
      </c>
      <c r="B2" s="41">
        <v>0.02</v>
      </c>
      <c r="C2" s="41">
        <v>0.025</v>
      </c>
    </row>
    <row r="3">
      <c r="A3" s="11" t="s">
        <v>79</v>
      </c>
      <c r="B3" s="41">
        <v>0.0177</v>
      </c>
      <c r="C3" s="41">
        <v>0.0278</v>
      </c>
    </row>
    <row r="4">
      <c r="A4" s="11" t="s">
        <v>80</v>
      </c>
      <c r="B4" s="42" t="s">
        <v>81</v>
      </c>
      <c r="C4" s="42" t="s">
        <v>82</v>
      </c>
    </row>
    <row r="5">
      <c r="A5" s="30" t="s">
        <v>83</v>
      </c>
      <c r="B5" s="41">
        <f>'Reverse DCF'!B8</f>
        <v>0.031942</v>
      </c>
      <c r="C5" s="12">
        <f>'Reverse DCF'!B8</f>
        <v>0.031942</v>
      </c>
    </row>
    <row r="7">
      <c r="A7" s="1" t="s">
        <v>85</v>
      </c>
    </row>
    <row r="8">
      <c r="A8" s="6" t="s">
        <v>86</v>
      </c>
    </row>
    <row r="9">
      <c r="A9" s="6" t="s">
        <v>87</v>
      </c>
    </row>
    <row r="10">
      <c r="A10" s="6" t="s">
        <v>88</v>
      </c>
    </row>
    <row r="11">
      <c r="A11" s="6" t="s">
        <v>89</v>
      </c>
    </row>
    <row r="12">
      <c r="A12" s="6" t="s">
        <v>90</v>
      </c>
    </row>
  </sheetData>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38"/>
    <col customWidth="1" min="2" max="2" width="17.63"/>
  </cols>
  <sheetData>
    <row r="1">
      <c r="A1" s="46" t="s">
        <v>0</v>
      </c>
      <c r="B1" s="46" t="s">
        <v>94</v>
      </c>
    </row>
    <row r="2">
      <c r="A2" s="46" t="s">
        <v>95</v>
      </c>
      <c r="B2" s="47">
        <f>'DCF Valuation'!B37</f>
        <v>154.7231468</v>
      </c>
    </row>
    <row r="3">
      <c r="A3" s="46" t="s">
        <v>96</v>
      </c>
      <c r="B3" s="6">
        <f>'DCF Valuation'!E6</f>
        <v>159.35</v>
      </c>
    </row>
  </sheetData>
  <drawing r:id="rId4"/>
  <legacyDrawing r:id="rId5"/>
</worksheet>
</file>